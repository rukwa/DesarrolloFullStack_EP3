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fullstack#3\"/>
    </mc:Choice>
  </mc:AlternateContent>
  <xr:revisionPtr revIDLastSave="0" documentId="8_{86828CE4-583D-4499-903B-79B980F09B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DT" sheetId="1" r:id="rId1"/>
    <sheet name="Calculo de costo " sheetId="2" r:id="rId2"/>
    <sheet name="Carta gantt " sheetId="3" r:id="rId3"/>
    <sheet name="Formato EDT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 s="1"/>
  <c r="C12" i="2" s="1"/>
  <c r="C4" i="2"/>
  <c r="C3" i="2"/>
  <c r="K22" i="1"/>
  <c r="K21" i="1"/>
  <c r="K20" i="1"/>
  <c r="K19" i="1"/>
  <c r="K18" i="1"/>
  <c r="K15" i="1"/>
  <c r="K14" i="1"/>
  <c r="P13" i="1"/>
  <c r="P15" i="1" s="1"/>
  <c r="P16" i="1" s="1"/>
  <c r="P8" i="1"/>
  <c r="P7" i="1"/>
  <c r="L20" i="1" l="1"/>
  <c r="L18" i="1"/>
  <c r="L22" i="1"/>
  <c r="P18" i="1"/>
  <c r="L21" i="1"/>
  <c r="L19" i="1"/>
  <c r="K23" i="1"/>
  <c r="L23" i="1" l="1"/>
</calcChain>
</file>

<file path=xl/sharedStrings.xml><?xml version="1.0" encoding="utf-8"?>
<sst xmlns="http://schemas.openxmlformats.org/spreadsheetml/2006/main" count="239" uniqueCount="121">
  <si>
    <t>Planificacion software "FDA"</t>
  </si>
  <si>
    <t>N°</t>
  </si>
  <si>
    <t>Actividades/semanas</t>
  </si>
  <si>
    <t>1.0</t>
  </si>
  <si>
    <t>Fase de Planificación</t>
  </si>
  <si>
    <t>DIAS</t>
  </si>
  <si>
    <t>1.1</t>
  </si>
  <si>
    <t>Kick Off</t>
  </si>
  <si>
    <t>1.2</t>
  </si>
  <si>
    <t>Acta de Constitución de proyecto y Aprobación del Acta</t>
  </si>
  <si>
    <t>1.3</t>
  </si>
  <si>
    <t>Definición de requerimientos Generales del proyecto</t>
  </si>
  <si>
    <t>1.4</t>
  </si>
  <si>
    <t>Organización del equipo</t>
  </si>
  <si>
    <t>1.5</t>
  </si>
  <si>
    <t>2.0</t>
  </si>
  <si>
    <t>Fase de Análisis y diseño</t>
  </si>
  <si>
    <t>2.1</t>
  </si>
  <si>
    <t>Captura de requerimientos y Análisis de requerimientos</t>
  </si>
  <si>
    <t>2.2</t>
  </si>
  <si>
    <t>Diseño de la solución. Modelamientos</t>
  </si>
  <si>
    <t>2.3</t>
  </si>
  <si>
    <t>Propuesta ERS</t>
  </si>
  <si>
    <t>2.4</t>
  </si>
  <si>
    <t>3.0</t>
  </si>
  <si>
    <t>Fase de Desarrollo</t>
  </si>
  <si>
    <t>3.1</t>
  </si>
  <si>
    <t xml:space="preserve">Creacion backend </t>
  </si>
  <si>
    <t>3.2</t>
  </si>
  <si>
    <t>Migracion a arquitectura de microservicio</t>
  </si>
  <si>
    <t>3.3</t>
  </si>
  <si>
    <t>Prueba de funcionamiento</t>
  </si>
  <si>
    <t>3.4</t>
  </si>
  <si>
    <t>Despliegue</t>
  </si>
  <si>
    <t>3.5</t>
  </si>
  <si>
    <t>3.6</t>
  </si>
  <si>
    <t>3.7</t>
  </si>
  <si>
    <t>4.0</t>
  </si>
  <si>
    <t>Fase de implementación y cierre</t>
  </si>
  <si>
    <t>4.1</t>
  </si>
  <si>
    <t xml:space="preserve">Pruebas configuración de software y base datos </t>
  </si>
  <si>
    <t>4.2</t>
  </si>
  <si>
    <t xml:space="preserve">Pruebas funcionamiento de servidor y software reporte </t>
  </si>
  <si>
    <t>4.3</t>
  </si>
  <si>
    <t>Pruebas de configuración de impresora</t>
  </si>
  <si>
    <t>4.4</t>
  </si>
  <si>
    <t>Pruebas de integración</t>
  </si>
  <si>
    <t>4.5</t>
  </si>
  <si>
    <t>Migración del sistema a producción</t>
  </si>
  <si>
    <t>4.6</t>
  </si>
  <si>
    <t>Pruebas de integración final</t>
  </si>
  <si>
    <t>4.7</t>
  </si>
  <si>
    <t>Marcha blanca</t>
  </si>
  <si>
    <t>4.8</t>
  </si>
  <si>
    <t>Capacitación</t>
  </si>
  <si>
    <t>4.9</t>
  </si>
  <si>
    <t>Cierre de proyecto</t>
  </si>
  <si>
    <t>Implementación de Hibernate y JPA</t>
  </si>
  <si>
    <t>Proceso de carga masiva de datos</t>
  </si>
  <si>
    <t>Comunicación entre Microservicios</t>
  </si>
  <si>
    <t>3.8</t>
  </si>
  <si>
    <t>Persistencia de datos en MySQL</t>
  </si>
  <si>
    <t>3.9</t>
  </si>
  <si>
    <t>Estructuración entre Microservicios (Despliegue)</t>
  </si>
  <si>
    <t>Fase de Documentación y Arquitectura</t>
  </si>
  <si>
    <t>Plan Estratégico de Migración y Persistencia</t>
  </si>
  <si>
    <t>Plan de Pruebas de Migración y Persistencia</t>
  </si>
  <si>
    <t>Modelo y Estructura de Base de Datos</t>
  </si>
  <si>
    <t>Manual de Diseño de Datos</t>
  </si>
  <si>
    <t>Arquitectura MVC del Sistema de Datos</t>
  </si>
  <si>
    <t>Swagger/OpenAPI</t>
  </si>
  <si>
    <t>Capturas Swagger UI</t>
  </si>
  <si>
    <t>Implementación HATEOAS</t>
  </si>
  <si>
    <t>Pruebas integración microservicios</t>
  </si>
  <si>
    <t>Plan de pruebas y evidencias</t>
  </si>
  <si>
    <t>Correcciones documentación IEEE</t>
  </si>
  <si>
    <t>Presentación y cierre</t>
  </si>
  <si>
    <t>EDT - Planilla Estructura de descomposición de tareas</t>
  </si>
  <si>
    <t xml:space="preserve">Actividades </t>
  </si>
  <si>
    <t>HORAS POR ACTIVIDAD O ENTREGABLE</t>
  </si>
  <si>
    <t>DICCIONARIO EDT</t>
  </si>
  <si>
    <t xml:space="preserve">Sueldo por ingeniero mes </t>
  </si>
  <si>
    <t>JP</t>
  </si>
  <si>
    <t>ABD</t>
  </si>
  <si>
    <t>AC</t>
  </si>
  <si>
    <t>AP</t>
  </si>
  <si>
    <t>AS</t>
  </si>
  <si>
    <t>Siglas</t>
  </si>
  <si>
    <t>ROL ACTOR</t>
  </si>
  <si>
    <t>NOMBRE ACTOR</t>
  </si>
  <si>
    <t>Sueldo Liquido</t>
  </si>
  <si>
    <t>Jefe de proyecto</t>
  </si>
  <si>
    <t>Enzo Morales</t>
  </si>
  <si>
    <t>AFP</t>
  </si>
  <si>
    <t>Analista Base de datos</t>
  </si>
  <si>
    <t>Gerard Zambrano</t>
  </si>
  <si>
    <t>SALUD</t>
  </si>
  <si>
    <t>Analista de Calidad</t>
  </si>
  <si>
    <t>Jorge Zarate</t>
  </si>
  <si>
    <t xml:space="preserve">Bono de colación </t>
  </si>
  <si>
    <t>Analista  programador</t>
  </si>
  <si>
    <t>Matias Echeverria</t>
  </si>
  <si>
    <t>Bono locomoción</t>
  </si>
  <si>
    <t>Arquitecto de software</t>
  </si>
  <si>
    <t xml:space="preserve">Equitación </t>
  </si>
  <si>
    <t>Plan celular</t>
  </si>
  <si>
    <t>Totales en tiempo del proyecto</t>
  </si>
  <si>
    <t xml:space="preserve">Total </t>
  </si>
  <si>
    <t xml:space="preserve">Días </t>
  </si>
  <si>
    <t xml:space="preserve">Horas </t>
  </si>
  <si>
    <t>Sueldo día</t>
  </si>
  <si>
    <t xml:space="preserve">Valor hora </t>
  </si>
  <si>
    <t>Cargo</t>
  </si>
  <si>
    <t>Total horas</t>
  </si>
  <si>
    <t>Costo por hora</t>
  </si>
  <si>
    <t xml:space="preserve">Costo  total proyecto </t>
  </si>
  <si>
    <t>Totales</t>
  </si>
  <si>
    <t xml:space="preserve">Bono de colacion </t>
  </si>
  <si>
    <t>Bono locomocion</t>
  </si>
  <si>
    <t xml:space="preserve">Equipacion </t>
  </si>
  <si>
    <t>Sueldo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</si>
</sst>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??_-;_-@_-"/>
    <numFmt numFmtId="165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2CE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theme="7"/>
        <bgColor rgb="FF4F81BD"/>
      </patternFill>
    </fill>
    <fill>
      <patternFill patternType="solid">
        <fgColor theme="5"/>
        <bgColor rgb="FF4F81BD"/>
      </patternFill>
    </fill>
    <fill>
      <patternFill patternType="solid">
        <fgColor theme="9"/>
        <bgColor rgb="FF4F81BD"/>
      </patternFill>
    </fill>
    <fill>
      <patternFill patternType="solid">
        <fgColor rgb="FFFFFF00"/>
        <bgColor rgb="FF4F81BD"/>
      </patternFill>
    </fill>
    <fill>
      <patternFill patternType="solid">
        <fgColor rgb="FF00B050"/>
        <bgColor rgb="FF4F81BD"/>
      </patternFill>
    </fill>
    <fill>
      <patternFill patternType="solid">
        <fgColor rgb="FF00B0F0"/>
        <bgColor rgb="FF4F81BD"/>
      </patternFill>
    </fill>
    <fill>
      <patternFill patternType="solid">
        <fgColor rgb="FF002060"/>
        <bgColor rgb="FF4F81BD"/>
      </patternFill>
    </fill>
    <fill>
      <patternFill patternType="solid">
        <fgColor rgb="FF0070C0"/>
        <bgColor rgb="FF4F81BD"/>
      </patternFill>
    </fill>
    <fill>
      <patternFill patternType="solid">
        <fgColor rgb="FF80808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/>
  </cellStyleXfs>
  <cellXfs count="61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1" xfId="0" applyFont="1" applyBorder="1"/>
    <xf numFmtId="164" fontId="4" fillId="0" borderId="1" xfId="1" applyNumberFormat="1" applyFont="1" applyBorder="1"/>
    <xf numFmtId="164" fontId="3" fillId="0" borderId="1" xfId="1" applyNumberFormat="1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0" fillId="3" borderId="1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64" fontId="3" fillId="4" borderId="1" xfId="1" applyNumberFormat="1" applyFont="1" applyFill="1" applyBorder="1" applyAlignment="1">
      <alignment horizontal="right" vertical="center"/>
    </xf>
    <xf numFmtId="0" fontId="0" fillId="0" borderId="3" xfId="0" applyBorder="1"/>
    <xf numFmtId="0" fontId="0" fillId="4" borderId="3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164" fontId="0" fillId="0" borderId="0" xfId="0" applyNumberFormat="1"/>
    <xf numFmtId="0" fontId="0" fillId="9" borderId="1" xfId="0" applyFill="1" applyBorder="1"/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0" fontId="2" fillId="0" borderId="0" xfId="0" applyFont="1"/>
    <xf numFmtId="0" fontId="2" fillId="0" borderId="3" xfId="0" applyFont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5" fillId="0" borderId="5" xfId="0" applyFont="1" applyBorder="1" applyAlignment="1">
      <alignment horizontal="center"/>
    </xf>
    <xf numFmtId="0" fontId="0" fillId="0" borderId="0" xfId="0"/>
    <xf numFmtId="0" fontId="0" fillId="0" borderId="5" xfId="0" applyBorder="1"/>
    <xf numFmtId="0" fontId="5" fillId="4" borderId="1" xfId="0" applyFont="1" applyFill="1" applyBorder="1" applyAlignment="1">
      <alignment horizontal="left"/>
    </xf>
    <xf numFmtId="0" fontId="0" fillId="0" borderId="4" xfId="0" applyBorder="1"/>
    <xf numFmtId="0" fontId="3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7" xfId="0" applyBorder="1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5"/>
  <sheetViews>
    <sheetView topLeftCell="D4" zoomScale="120" zoomScaleNormal="120" workbookViewId="0">
      <selection activeCell="L21" sqref="L21"/>
    </sheetView>
  </sheetViews>
  <sheetFormatPr baseColWidth="10" defaultRowHeight="14.4" outlineLevelRow="1" x14ac:dyDescent="0.3"/>
  <cols>
    <col min="1" max="1" width="12" customWidth="1"/>
    <col min="2" max="2" width="51.44140625" customWidth="1"/>
    <col min="3" max="4" width="13" customWidth="1"/>
    <col min="5" max="5" width="13.88671875" bestFit="1" customWidth="1"/>
    <col min="6" max="6" width="12" bestFit="1" customWidth="1"/>
    <col min="7" max="7" width="12.88671875" customWidth="1"/>
    <col min="8" max="8" width="13.44140625" bestFit="1" customWidth="1"/>
    <col min="9" max="10" width="13" customWidth="1"/>
    <col min="11" max="11" width="22.88671875" bestFit="1" customWidth="1"/>
    <col min="12" max="12" width="18.6640625" customWidth="1"/>
    <col min="13" max="14" width="12" customWidth="1"/>
    <col min="15" max="15" width="25.88671875" bestFit="1" customWidth="1"/>
    <col min="16" max="16" width="15.5546875" bestFit="1" customWidth="1"/>
  </cols>
  <sheetData>
    <row r="2" spans="1:16" ht="21" customHeight="1" x14ac:dyDescent="0.4">
      <c r="B2" s="52" t="s">
        <v>77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5" spans="1:16" x14ac:dyDescent="0.3">
      <c r="A5" s="15" t="s">
        <v>1</v>
      </c>
      <c r="B5" s="15" t="s">
        <v>78</v>
      </c>
      <c r="C5" s="17" t="s">
        <v>5</v>
      </c>
      <c r="D5" s="53" t="s">
        <v>79</v>
      </c>
      <c r="E5" s="54"/>
      <c r="F5" s="54"/>
      <c r="G5" s="54"/>
      <c r="H5" s="50"/>
      <c r="K5" s="51" t="s">
        <v>80</v>
      </c>
      <c r="L5" s="50"/>
      <c r="O5" s="51" t="s">
        <v>81</v>
      </c>
      <c r="P5" s="50"/>
    </row>
    <row r="6" spans="1:16" x14ac:dyDescent="0.3">
      <c r="A6" s="1" t="s">
        <v>3</v>
      </c>
      <c r="B6" s="14" t="s">
        <v>4</v>
      </c>
      <c r="C6" s="14"/>
      <c r="D6" s="28" t="s">
        <v>82</v>
      </c>
      <c r="E6" s="29" t="s">
        <v>83</v>
      </c>
      <c r="F6" s="29" t="s">
        <v>84</v>
      </c>
      <c r="G6" s="29" t="s">
        <v>85</v>
      </c>
      <c r="H6" s="29" t="s">
        <v>86</v>
      </c>
      <c r="J6" s="17" t="s">
        <v>87</v>
      </c>
      <c r="K6" s="17" t="s">
        <v>88</v>
      </c>
      <c r="L6" s="17" t="s">
        <v>89</v>
      </c>
      <c r="O6" s="6" t="s">
        <v>90</v>
      </c>
      <c r="P6" s="7">
        <v>2000000</v>
      </c>
    </row>
    <row r="7" spans="1:16" outlineLevel="1" x14ac:dyDescent="0.3">
      <c r="A7" s="1" t="s">
        <v>6</v>
      </c>
      <c r="B7" s="1" t="s">
        <v>7</v>
      </c>
      <c r="C7" s="1">
        <v>1</v>
      </c>
      <c r="D7" s="4">
        <v>5</v>
      </c>
      <c r="E7" s="4">
        <v>5</v>
      </c>
      <c r="F7" s="4">
        <v>5</v>
      </c>
      <c r="G7" s="4">
        <v>5</v>
      </c>
      <c r="H7" s="4">
        <v>0</v>
      </c>
      <c r="I7" s="2"/>
      <c r="J7" s="3" t="s">
        <v>82</v>
      </c>
      <c r="K7" s="1" t="s">
        <v>91</v>
      </c>
      <c r="L7" s="1" t="s">
        <v>92</v>
      </c>
      <c r="O7" s="6" t="s">
        <v>93</v>
      </c>
      <c r="P7" s="7">
        <f>P6*0.11</f>
        <v>220000</v>
      </c>
    </row>
    <row r="8" spans="1:16" outlineLevel="1" x14ac:dyDescent="0.3">
      <c r="A8" s="1" t="s">
        <v>8</v>
      </c>
      <c r="B8" s="1" t="s">
        <v>9</v>
      </c>
      <c r="C8" s="1">
        <v>1</v>
      </c>
      <c r="D8" s="4">
        <v>8</v>
      </c>
      <c r="E8" s="4">
        <v>8</v>
      </c>
      <c r="F8" s="4">
        <v>8</v>
      </c>
      <c r="G8" s="4">
        <v>8</v>
      </c>
      <c r="H8" s="4">
        <v>0</v>
      </c>
      <c r="I8" s="2"/>
      <c r="J8" s="3" t="s">
        <v>83</v>
      </c>
      <c r="K8" s="1" t="s">
        <v>94</v>
      </c>
      <c r="L8" s="1" t="s">
        <v>95</v>
      </c>
      <c r="O8" s="6" t="s">
        <v>96</v>
      </c>
      <c r="P8" s="7">
        <f>P6*0.07</f>
        <v>140000</v>
      </c>
    </row>
    <row r="9" spans="1:16" outlineLevel="1" x14ac:dyDescent="0.3">
      <c r="A9" s="1" t="s">
        <v>10</v>
      </c>
      <c r="B9" s="1" t="s">
        <v>11</v>
      </c>
      <c r="C9" s="1">
        <v>2</v>
      </c>
      <c r="D9" s="4">
        <v>12</v>
      </c>
      <c r="E9" s="4">
        <v>12</v>
      </c>
      <c r="F9" s="4">
        <v>12</v>
      </c>
      <c r="G9" s="4">
        <v>12</v>
      </c>
      <c r="H9" s="4">
        <v>0</v>
      </c>
      <c r="I9" s="2"/>
      <c r="J9" s="3" t="s">
        <v>84</v>
      </c>
      <c r="K9" s="1" t="s">
        <v>97</v>
      </c>
      <c r="L9" s="1" t="s">
        <v>98</v>
      </c>
      <c r="O9" s="6" t="s">
        <v>99</v>
      </c>
      <c r="P9" s="8">
        <v>30000</v>
      </c>
    </row>
    <row r="10" spans="1:16" outlineLevel="1" x14ac:dyDescent="0.3">
      <c r="A10" s="1" t="s">
        <v>12</v>
      </c>
      <c r="B10" s="1" t="s">
        <v>13</v>
      </c>
      <c r="C10" s="1">
        <v>1</v>
      </c>
      <c r="D10" s="4">
        <v>10</v>
      </c>
      <c r="E10" s="4">
        <v>6</v>
      </c>
      <c r="F10" s="4">
        <v>6</v>
      </c>
      <c r="G10" s="4">
        <v>6</v>
      </c>
      <c r="H10" s="4">
        <v>0</v>
      </c>
      <c r="I10" s="2"/>
      <c r="J10" s="3" t="s">
        <v>85</v>
      </c>
      <c r="K10" s="1" t="s">
        <v>100</v>
      </c>
      <c r="L10" s="1" t="s">
        <v>101</v>
      </c>
      <c r="O10" s="6" t="s">
        <v>102</v>
      </c>
      <c r="P10" s="8">
        <v>25000</v>
      </c>
    </row>
    <row r="11" spans="1:16" outlineLevel="1" x14ac:dyDescent="0.3">
      <c r="A11" s="1" t="s">
        <v>14</v>
      </c>
      <c r="B11" s="1"/>
      <c r="C11" s="1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2"/>
      <c r="J11" s="3" t="s">
        <v>86</v>
      </c>
      <c r="K11" s="1" t="s">
        <v>103</v>
      </c>
      <c r="L11" s="1"/>
      <c r="O11" s="6" t="s">
        <v>104</v>
      </c>
      <c r="P11" s="8">
        <v>50000</v>
      </c>
    </row>
    <row r="12" spans="1:16" x14ac:dyDescent="0.3">
      <c r="A12" s="1" t="s">
        <v>15</v>
      </c>
      <c r="B12" s="15" t="s">
        <v>16</v>
      </c>
      <c r="C12" s="15"/>
      <c r="D12" s="16" t="s">
        <v>82</v>
      </c>
      <c r="E12" s="16" t="s">
        <v>83</v>
      </c>
      <c r="F12" s="16" t="s">
        <v>84</v>
      </c>
      <c r="G12" s="16" t="s">
        <v>85</v>
      </c>
      <c r="H12" s="16" t="s">
        <v>86</v>
      </c>
      <c r="O12" s="6" t="s">
        <v>105</v>
      </c>
      <c r="P12" s="8">
        <v>20000</v>
      </c>
    </row>
    <row r="13" spans="1:16" outlineLevel="1" x14ac:dyDescent="0.3">
      <c r="A13" s="1" t="s">
        <v>17</v>
      </c>
      <c r="B13" s="1" t="s">
        <v>18</v>
      </c>
      <c r="C13" s="1">
        <v>2</v>
      </c>
      <c r="D13" s="5">
        <v>10</v>
      </c>
      <c r="E13" s="5">
        <v>10</v>
      </c>
      <c r="F13" s="5">
        <v>7</v>
      </c>
      <c r="G13" s="5">
        <v>10</v>
      </c>
      <c r="H13" s="5">
        <v>0</v>
      </c>
      <c r="J13" s="51" t="s">
        <v>106</v>
      </c>
      <c r="K13" s="50"/>
      <c r="O13" s="19" t="s">
        <v>107</v>
      </c>
      <c r="P13" s="20">
        <f>SUM(P6:P12)</f>
        <v>2485000</v>
      </c>
    </row>
    <row r="14" spans="1:16" outlineLevel="1" x14ac:dyDescent="0.3">
      <c r="A14" s="1" t="s">
        <v>19</v>
      </c>
      <c r="B14" s="1" t="s">
        <v>20</v>
      </c>
      <c r="C14" s="1">
        <v>1</v>
      </c>
      <c r="D14" s="5">
        <v>8</v>
      </c>
      <c r="E14" s="5">
        <v>8</v>
      </c>
      <c r="F14" s="5">
        <v>6</v>
      </c>
      <c r="G14" s="5">
        <v>8</v>
      </c>
      <c r="H14" s="5">
        <v>0</v>
      </c>
      <c r="J14" s="3" t="s">
        <v>108</v>
      </c>
      <c r="K14" s="1">
        <f>SUM(C7:C34)</f>
        <v>16</v>
      </c>
    </row>
    <row r="15" spans="1:16" outlineLevel="1" x14ac:dyDescent="0.3">
      <c r="A15" s="1" t="s">
        <v>21</v>
      </c>
      <c r="B15" s="1" t="s">
        <v>22</v>
      </c>
      <c r="C15" s="1">
        <v>3</v>
      </c>
      <c r="D15" s="5">
        <v>12</v>
      </c>
      <c r="E15" s="5">
        <v>12</v>
      </c>
      <c r="F15" s="5">
        <v>12</v>
      </c>
      <c r="G15" s="5">
        <v>12</v>
      </c>
      <c r="H15" s="5">
        <v>0</v>
      </c>
      <c r="J15" s="3" t="s">
        <v>109</v>
      </c>
      <c r="K15" s="3">
        <f>SUM(D7:H34)</f>
        <v>419</v>
      </c>
      <c r="O15" s="19" t="s">
        <v>110</v>
      </c>
      <c r="P15" s="11">
        <f>P13/30</f>
        <v>82833.333333333328</v>
      </c>
    </row>
    <row r="16" spans="1:16" outlineLevel="1" x14ac:dyDescent="0.3">
      <c r="A16" s="1" t="s">
        <v>23</v>
      </c>
      <c r="B16" s="1"/>
      <c r="C16" s="1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O16" s="19" t="s">
        <v>111</v>
      </c>
      <c r="P16" s="11">
        <f>P15/8</f>
        <v>10354.166666666666</v>
      </c>
    </row>
    <row r="17" spans="1:16" x14ac:dyDescent="0.3">
      <c r="A17" s="1" t="s">
        <v>24</v>
      </c>
      <c r="B17" s="15" t="s">
        <v>25</v>
      </c>
      <c r="C17" s="15"/>
      <c r="D17" s="16" t="s">
        <v>82</v>
      </c>
      <c r="E17" s="16" t="s">
        <v>83</v>
      </c>
      <c r="F17" s="16" t="s">
        <v>84</v>
      </c>
      <c r="G17" s="16" t="s">
        <v>85</v>
      </c>
      <c r="H17" s="16" t="s">
        <v>86</v>
      </c>
      <c r="J17" s="17" t="s">
        <v>112</v>
      </c>
      <c r="K17" s="17" t="s">
        <v>113</v>
      </c>
      <c r="L17" s="17" t="s">
        <v>114</v>
      </c>
    </row>
    <row r="18" spans="1:16" outlineLevel="1" x14ac:dyDescent="0.3">
      <c r="A18" s="1" t="s">
        <v>26</v>
      </c>
      <c r="B18" s="1" t="s">
        <v>27</v>
      </c>
      <c r="C18" s="1">
        <v>1</v>
      </c>
      <c r="D18" s="5">
        <v>6</v>
      </c>
      <c r="E18" s="5">
        <v>12</v>
      </c>
      <c r="F18" s="5">
        <v>8</v>
      </c>
      <c r="G18" s="5">
        <v>12</v>
      </c>
      <c r="H18" s="5">
        <v>0</v>
      </c>
      <c r="J18" s="3" t="s">
        <v>82</v>
      </c>
      <c r="K18" s="3">
        <f>SUM(D7:D34)</f>
        <v>101</v>
      </c>
      <c r="L18" s="12">
        <f>P16*K18</f>
        <v>1045770.8333333333</v>
      </c>
      <c r="O18" s="19" t="s">
        <v>115</v>
      </c>
      <c r="P18" s="11">
        <f>K15*P16</f>
        <v>4338395.833333333</v>
      </c>
    </row>
    <row r="19" spans="1:16" outlineLevel="1" x14ac:dyDescent="0.3">
      <c r="A19" s="1" t="s">
        <v>28</v>
      </c>
      <c r="B19" s="1" t="s">
        <v>29</v>
      </c>
      <c r="C19" s="1">
        <v>2</v>
      </c>
      <c r="D19" s="5">
        <v>8</v>
      </c>
      <c r="E19" s="5">
        <v>8</v>
      </c>
      <c r="F19" s="5">
        <v>8</v>
      </c>
      <c r="G19" s="5">
        <v>14</v>
      </c>
      <c r="H19" s="5">
        <v>0</v>
      </c>
      <c r="J19" s="3" t="s">
        <v>83</v>
      </c>
      <c r="K19" s="3">
        <f>+SUM(E7:E34)</f>
        <v>105</v>
      </c>
      <c r="L19" s="12">
        <f>K19*P16</f>
        <v>1087187.5</v>
      </c>
    </row>
    <row r="20" spans="1:16" outlineLevel="1" x14ac:dyDescent="0.3">
      <c r="A20" s="1" t="s">
        <v>30</v>
      </c>
      <c r="B20" s="1" t="s">
        <v>31</v>
      </c>
      <c r="C20" s="1">
        <v>1</v>
      </c>
      <c r="D20" s="5">
        <v>10</v>
      </c>
      <c r="E20" s="5">
        <v>12</v>
      </c>
      <c r="F20" s="5">
        <v>16</v>
      </c>
      <c r="G20" s="5">
        <v>12</v>
      </c>
      <c r="H20" s="5">
        <v>0</v>
      </c>
      <c r="J20" s="3" t="s">
        <v>84</v>
      </c>
      <c r="K20" s="3">
        <f>SUM(F7:F34)</f>
        <v>100</v>
      </c>
      <c r="L20" s="12">
        <f>K20*P16</f>
        <v>1035416.6666666666</v>
      </c>
    </row>
    <row r="21" spans="1:16" outlineLevel="1" x14ac:dyDescent="0.3">
      <c r="A21" s="1" t="s">
        <v>32</v>
      </c>
      <c r="B21" s="1" t="s">
        <v>33</v>
      </c>
      <c r="C21" s="1">
        <v>1</v>
      </c>
      <c r="D21" s="5">
        <v>12</v>
      </c>
      <c r="E21" s="5">
        <v>12</v>
      </c>
      <c r="F21" s="5">
        <v>12</v>
      </c>
      <c r="G21" s="5">
        <v>14</v>
      </c>
      <c r="H21" s="5">
        <v>0</v>
      </c>
      <c r="J21" s="3" t="s">
        <v>85</v>
      </c>
      <c r="K21" s="3">
        <f>+SUM(G7:G34)</f>
        <v>113</v>
      </c>
      <c r="L21" s="12">
        <f>K21*P16</f>
        <v>1170020.8333333333</v>
      </c>
    </row>
    <row r="22" spans="1:16" outlineLevel="1" x14ac:dyDescent="0.3">
      <c r="A22" s="1" t="s">
        <v>34</v>
      </c>
      <c r="B22" s="1"/>
      <c r="C22" s="1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3" t="s">
        <v>86</v>
      </c>
      <c r="K22" s="3">
        <f>+SUM(H7:H34)</f>
        <v>0</v>
      </c>
      <c r="L22" s="12">
        <f>P16*K22</f>
        <v>0</v>
      </c>
    </row>
    <row r="23" spans="1:16" outlineLevel="1" x14ac:dyDescent="0.3">
      <c r="A23" s="1" t="s">
        <v>35</v>
      </c>
      <c r="B23" s="1"/>
      <c r="C23" s="1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17" t="s">
        <v>116</v>
      </c>
      <c r="K23" s="16">
        <f>SUM(K18:K22)</f>
        <v>419</v>
      </c>
      <c r="L23" s="18">
        <f>SUM(L18:L22)</f>
        <v>4338395.833333333</v>
      </c>
    </row>
    <row r="24" spans="1:16" outlineLevel="1" x14ac:dyDescent="0.3">
      <c r="A24" s="1" t="s">
        <v>36</v>
      </c>
      <c r="B24" s="1"/>
      <c r="C24" s="1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1:16" x14ac:dyDescent="0.3">
      <c r="A25" s="1" t="s">
        <v>37</v>
      </c>
      <c r="B25" s="15" t="s">
        <v>38</v>
      </c>
      <c r="C25" s="15"/>
      <c r="D25" s="17" t="s">
        <v>82</v>
      </c>
      <c r="E25" s="17" t="s">
        <v>83</v>
      </c>
      <c r="F25" s="17" t="s">
        <v>84</v>
      </c>
      <c r="G25" s="17" t="s">
        <v>85</v>
      </c>
      <c r="H25" s="17" t="s">
        <v>86</v>
      </c>
    </row>
    <row r="26" spans="1:16" outlineLevel="1" x14ac:dyDescent="0.3">
      <c r="A26" s="1" t="s">
        <v>39</v>
      </c>
      <c r="B26" s="1" t="s">
        <v>40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J26" s="30"/>
    </row>
    <row r="27" spans="1:16" outlineLevel="1" x14ac:dyDescent="0.3">
      <c r="A27" s="1" t="s">
        <v>41</v>
      </c>
      <c r="B27" s="1" t="s">
        <v>42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16" outlineLevel="1" x14ac:dyDescent="0.3">
      <c r="A28" s="1" t="s">
        <v>43</v>
      </c>
      <c r="B28" s="1" t="s">
        <v>44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16" outlineLevel="1" x14ac:dyDescent="0.3">
      <c r="A29" s="1" t="s">
        <v>45</v>
      </c>
      <c r="B29" s="1" t="s">
        <v>46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16" outlineLevel="1" x14ac:dyDescent="0.3">
      <c r="A30" s="1" t="s">
        <v>47</v>
      </c>
      <c r="B30" s="1" t="s">
        <v>48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16" outlineLevel="1" x14ac:dyDescent="0.3">
      <c r="A31" s="1" t="s">
        <v>49</v>
      </c>
      <c r="B31" s="1" t="s">
        <v>50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16" outlineLevel="1" x14ac:dyDescent="0.3">
      <c r="A32" s="1" t="s">
        <v>51</v>
      </c>
      <c r="B32" s="1" t="s">
        <v>52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 outlineLevel="1" x14ac:dyDescent="0.3">
      <c r="A33" s="1" t="s">
        <v>53</v>
      </c>
      <c r="B33" s="1" t="s">
        <v>54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 outlineLevel="1" x14ac:dyDescent="0.3">
      <c r="A34" s="1" t="s">
        <v>55</v>
      </c>
      <c r="B34" s="1" t="s">
        <v>56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 x14ac:dyDescent="0.3">
      <c r="A35" s="32" t="s">
        <v>34</v>
      </c>
      <c r="B35" s="32" t="s">
        <v>57</v>
      </c>
      <c r="C35" s="32">
        <v>3</v>
      </c>
      <c r="D35" s="33">
        <v>12</v>
      </c>
      <c r="E35" s="33">
        <v>12</v>
      </c>
      <c r="F35" s="33">
        <v>9</v>
      </c>
      <c r="G35" s="33">
        <v>12</v>
      </c>
      <c r="H35" s="33">
        <v>6</v>
      </c>
    </row>
    <row r="36" spans="1:8" x14ac:dyDescent="0.3">
      <c r="A36" s="32" t="s">
        <v>35</v>
      </c>
      <c r="B36" s="32" t="s">
        <v>58</v>
      </c>
      <c r="C36" s="32">
        <v>2</v>
      </c>
      <c r="D36" s="33">
        <v>8</v>
      </c>
      <c r="E36" s="33">
        <v>8</v>
      </c>
      <c r="F36" s="33">
        <v>6</v>
      </c>
      <c r="G36" s="33">
        <v>8</v>
      </c>
      <c r="H36" s="33">
        <v>4</v>
      </c>
    </row>
    <row r="37" spans="1:8" x14ac:dyDescent="0.3">
      <c r="A37" s="32" t="s">
        <v>36</v>
      </c>
      <c r="B37" s="32" t="s">
        <v>59</v>
      </c>
      <c r="C37" s="32">
        <v>4</v>
      </c>
      <c r="D37" s="33">
        <v>16</v>
      </c>
      <c r="E37" s="33">
        <v>16</v>
      </c>
      <c r="F37" s="33">
        <v>12</v>
      </c>
      <c r="G37" s="33">
        <v>16</v>
      </c>
      <c r="H37" s="33">
        <v>8</v>
      </c>
    </row>
    <row r="38" spans="1:8" x14ac:dyDescent="0.3">
      <c r="A38" s="32" t="s">
        <v>60</v>
      </c>
      <c r="B38" s="32" t="s">
        <v>61</v>
      </c>
      <c r="C38" s="32">
        <v>3</v>
      </c>
      <c r="D38" s="33">
        <v>12</v>
      </c>
      <c r="E38" s="33">
        <v>12</v>
      </c>
      <c r="F38" s="33">
        <v>9</v>
      </c>
      <c r="G38" s="33">
        <v>12</v>
      </c>
      <c r="H38" s="33">
        <v>6</v>
      </c>
    </row>
    <row r="39" spans="1:8" x14ac:dyDescent="0.3">
      <c r="A39" s="32" t="s">
        <v>62</v>
      </c>
      <c r="B39" s="32" t="s">
        <v>63</v>
      </c>
      <c r="C39" s="32">
        <v>4</v>
      </c>
      <c r="D39" s="33">
        <v>16</v>
      </c>
      <c r="E39" s="33">
        <v>16</v>
      </c>
      <c r="F39" s="33">
        <v>12</v>
      </c>
      <c r="G39" s="33">
        <v>16</v>
      </c>
      <c r="H39" s="33">
        <v>8</v>
      </c>
    </row>
    <row r="40" spans="1:8" x14ac:dyDescent="0.3">
      <c r="A40" s="32" t="s">
        <v>37</v>
      </c>
      <c r="B40" s="32" t="s">
        <v>64</v>
      </c>
      <c r="C40" s="32"/>
      <c r="D40" s="33"/>
      <c r="E40" s="33"/>
      <c r="F40" s="33"/>
      <c r="G40" s="33"/>
      <c r="H40" s="33"/>
    </row>
    <row r="41" spans="1:8" x14ac:dyDescent="0.3">
      <c r="A41" s="32" t="s">
        <v>39</v>
      </c>
      <c r="B41" s="32" t="s">
        <v>65</v>
      </c>
      <c r="C41" s="32">
        <v>2</v>
      </c>
      <c r="D41" s="33">
        <v>8</v>
      </c>
      <c r="E41" s="33">
        <v>8</v>
      </c>
      <c r="F41" s="33">
        <v>6</v>
      </c>
      <c r="G41" s="33">
        <v>8</v>
      </c>
      <c r="H41" s="33">
        <v>4</v>
      </c>
    </row>
    <row r="42" spans="1:8" x14ac:dyDescent="0.3">
      <c r="A42" s="32" t="s">
        <v>41</v>
      </c>
      <c r="B42" s="32" t="s">
        <v>66</v>
      </c>
      <c r="C42" s="32">
        <v>2</v>
      </c>
      <c r="D42" s="33">
        <v>8</v>
      </c>
      <c r="E42" s="33">
        <v>8</v>
      </c>
      <c r="F42" s="33">
        <v>6</v>
      </c>
      <c r="G42" s="33">
        <v>8</v>
      </c>
      <c r="H42" s="33">
        <v>4</v>
      </c>
    </row>
    <row r="43" spans="1:8" x14ac:dyDescent="0.3">
      <c r="A43" s="32" t="s">
        <v>43</v>
      </c>
      <c r="B43" s="32" t="s">
        <v>67</v>
      </c>
      <c r="C43" s="32">
        <v>3</v>
      </c>
      <c r="D43" s="33">
        <v>12</v>
      </c>
      <c r="E43" s="33">
        <v>12</v>
      </c>
      <c r="F43" s="33">
        <v>9</v>
      </c>
      <c r="G43" s="33">
        <v>12</v>
      </c>
      <c r="H43" s="33">
        <v>6</v>
      </c>
    </row>
    <row r="44" spans="1:8" x14ac:dyDescent="0.3">
      <c r="A44" s="32" t="s">
        <v>45</v>
      </c>
      <c r="B44" s="32" t="s">
        <v>68</v>
      </c>
      <c r="C44" s="32">
        <v>2</v>
      </c>
      <c r="D44" s="33">
        <v>8</v>
      </c>
      <c r="E44" s="33">
        <v>8</v>
      </c>
      <c r="F44" s="33">
        <v>6</v>
      </c>
      <c r="G44" s="33">
        <v>8</v>
      </c>
      <c r="H44" s="33">
        <v>4</v>
      </c>
    </row>
    <row r="45" spans="1:8" x14ac:dyDescent="0.3">
      <c r="A45" s="32" t="s">
        <v>47</v>
      </c>
      <c r="B45" s="32" t="s">
        <v>69</v>
      </c>
      <c r="C45" s="32">
        <v>3</v>
      </c>
      <c r="D45" s="33">
        <v>12</v>
      </c>
      <c r="E45" s="33">
        <v>12</v>
      </c>
      <c r="F45" s="33">
        <v>9</v>
      </c>
      <c r="G45" s="33">
        <v>12</v>
      </c>
      <c r="H45" s="33">
        <v>6</v>
      </c>
    </row>
  </sheetData>
  <mergeCells count="5">
    <mergeCell ref="O5:P5"/>
    <mergeCell ref="B2:L2"/>
    <mergeCell ref="D5:H5"/>
    <mergeCell ref="K5:L5"/>
    <mergeCell ref="J13:K1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2"/>
  <sheetViews>
    <sheetView workbookViewId="0">
      <selection activeCell="F6" sqref="F6"/>
    </sheetView>
  </sheetViews>
  <sheetFormatPr baseColWidth="10" defaultRowHeight="14.4" x14ac:dyDescent="0.3"/>
  <cols>
    <col min="2" max="2" width="19.6640625" bestFit="1" customWidth="1"/>
    <col min="3" max="3" width="13" customWidth="1"/>
  </cols>
  <sheetData>
    <row r="1" spans="2:3" x14ac:dyDescent="0.3">
      <c r="B1" s="55" t="s">
        <v>81</v>
      </c>
      <c r="C1" s="50"/>
    </row>
    <row r="2" spans="2:3" x14ac:dyDescent="0.3">
      <c r="B2" s="6" t="s">
        <v>90</v>
      </c>
      <c r="C2" s="7">
        <v>940000</v>
      </c>
    </row>
    <row r="3" spans="2:3" x14ac:dyDescent="0.3">
      <c r="B3" s="6" t="s">
        <v>93</v>
      </c>
      <c r="C3" s="7">
        <f>C2*0.11</f>
        <v>103400</v>
      </c>
    </row>
    <row r="4" spans="2:3" x14ac:dyDescent="0.3">
      <c r="B4" s="6" t="s">
        <v>96</v>
      </c>
      <c r="C4" s="7">
        <f>C2*0.07</f>
        <v>65800</v>
      </c>
    </row>
    <row r="5" spans="2:3" x14ac:dyDescent="0.3">
      <c r="B5" s="6" t="s">
        <v>117</v>
      </c>
      <c r="C5" s="8">
        <v>30000</v>
      </c>
    </row>
    <row r="6" spans="2:3" x14ac:dyDescent="0.3">
      <c r="B6" s="6" t="s">
        <v>118</v>
      </c>
      <c r="C6" s="8">
        <v>25000</v>
      </c>
    </row>
    <row r="7" spans="2:3" x14ac:dyDescent="0.3">
      <c r="B7" s="6" t="s">
        <v>119</v>
      </c>
      <c r="C7" s="8">
        <v>50000</v>
      </c>
    </row>
    <row r="8" spans="2:3" x14ac:dyDescent="0.3">
      <c r="B8" s="6" t="s">
        <v>105</v>
      </c>
      <c r="C8" s="8">
        <v>20000</v>
      </c>
    </row>
    <row r="9" spans="2:3" x14ac:dyDescent="0.3">
      <c r="B9" s="9" t="s">
        <v>107</v>
      </c>
      <c r="C9" s="10">
        <f>SUM(C2:C8)</f>
        <v>1234200</v>
      </c>
    </row>
    <row r="11" spans="2:3" x14ac:dyDescent="0.3">
      <c r="B11" s="9" t="s">
        <v>120</v>
      </c>
      <c r="C11" s="11">
        <f>C9/30</f>
        <v>41140</v>
      </c>
    </row>
    <row r="12" spans="2:3" x14ac:dyDescent="0.3">
      <c r="B12" s="9" t="s">
        <v>111</v>
      </c>
      <c r="C12" s="11">
        <f>C11/8</f>
        <v>5142.5</v>
      </c>
    </row>
  </sheetData>
  <mergeCells count="1">
    <mergeCell ref="B1:C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9"/>
  <sheetViews>
    <sheetView tabSelected="1" topLeftCell="A30" zoomScale="110" zoomScaleNormal="110" workbookViewId="0">
      <selection activeCell="AT49" sqref="AT49"/>
    </sheetView>
  </sheetViews>
  <sheetFormatPr baseColWidth="10" defaultRowHeight="14.4" x14ac:dyDescent="0.3"/>
  <cols>
    <col min="1" max="1" width="12" customWidth="1"/>
    <col min="2" max="2" width="56.88671875" bestFit="1" customWidth="1"/>
    <col min="3" max="3" width="12" bestFit="1" customWidth="1"/>
    <col min="4" max="5" width="12" customWidth="1"/>
    <col min="6" max="20" width="13" customWidth="1"/>
    <col min="21" max="21" width="12" customWidth="1"/>
    <col min="22" max="92" width="13" customWidth="1"/>
  </cols>
  <sheetData>
    <row r="1" spans="1:92" ht="18.75" customHeight="1" x14ac:dyDescent="0.3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92" ht="18.75" customHeight="1" x14ac:dyDescent="0.35">
      <c r="A2" s="14" t="s">
        <v>1</v>
      </c>
      <c r="B2" s="49" t="s">
        <v>2</v>
      </c>
      <c r="C2" s="50"/>
      <c r="D2" s="14">
        <v>1</v>
      </c>
      <c r="E2" s="14">
        <v>3</v>
      </c>
      <c r="F2" s="14">
        <v>4</v>
      </c>
      <c r="G2" s="14">
        <v>5</v>
      </c>
      <c r="H2" s="14">
        <v>6</v>
      </c>
      <c r="I2" s="14">
        <v>7</v>
      </c>
      <c r="J2" s="14">
        <v>8</v>
      </c>
      <c r="K2" s="14">
        <v>9</v>
      </c>
      <c r="L2" s="14">
        <v>10</v>
      </c>
      <c r="M2" s="14">
        <v>11</v>
      </c>
      <c r="N2" s="14">
        <v>12</v>
      </c>
      <c r="O2" s="14">
        <v>13</v>
      </c>
      <c r="P2" s="14">
        <v>14</v>
      </c>
      <c r="Q2" s="14">
        <v>15</v>
      </c>
      <c r="R2" s="14">
        <v>16</v>
      </c>
      <c r="S2" s="14">
        <v>17</v>
      </c>
      <c r="T2" s="14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</row>
    <row r="3" spans="1:92" x14ac:dyDescent="0.3">
      <c r="A3" t="s">
        <v>3</v>
      </c>
      <c r="B3" s="14" t="s">
        <v>4</v>
      </c>
      <c r="C3" s="27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92" x14ac:dyDescent="0.3">
      <c r="A4" t="s">
        <v>6</v>
      </c>
      <c r="B4" s="1" t="s">
        <v>7</v>
      </c>
      <c r="C4" s="21">
        <v>1</v>
      </c>
      <c r="D4" s="1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92" x14ac:dyDescent="0.3">
      <c r="A5" t="s">
        <v>8</v>
      </c>
      <c r="B5" s="1" t="s">
        <v>9</v>
      </c>
      <c r="C5" s="21">
        <v>1</v>
      </c>
      <c r="D5" s="1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92" x14ac:dyDescent="0.3">
      <c r="A6" t="s">
        <v>10</v>
      </c>
      <c r="B6" s="1" t="s">
        <v>11</v>
      </c>
      <c r="C6" s="21">
        <v>2</v>
      </c>
      <c r="D6" s="31"/>
      <c r="E6" s="13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92" x14ac:dyDescent="0.3">
      <c r="A7" t="s">
        <v>12</v>
      </c>
      <c r="B7" s="1" t="s">
        <v>13</v>
      </c>
      <c r="C7" s="21">
        <v>1</v>
      </c>
      <c r="D7" s="1"/>
      <c r="E7" s="31"/>
      <c r="F7" s="2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92" x14ac:dyDescent="0.3">
      <c r="A8" t="s">
        <v>14</v>
      </c>
      <c r="B8" s="1"/>
      <c r="C8" s="21">
        <v>0</v>
      </c>
      <c r="D8" s="3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92" x14ac:dyDescent="0.3">
      <c r="A9" t="s">
        <v>15</v>
      </c>
      <c r="B9" s="15" t="s">
        <v>16</v>
      </c>
      <c r="C9" s="2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92" x14ac:dyDescent="0.3">
      <c r="A10" t="s">
        <v>17</v>
      </c>
      <c r="B10" s="1" t="s">
        <v>18</v>
      </c>
      <c r="C10" s="21">
        <v>2</v>
      </c>
      <c r="D10" s="1"/>
      <c r="E10" s="31"/>
      <c r="F10" s="31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92" x14ac:dyDescent="0.3">
      <c r="A11" t="s">
        <v>19</v>
      </c>
      <c r="B11" s="1" t="s">
        <v>20</v>
      </c>
      <c r="C11" s="21">
        <v>1</v>
      </c>
      <c r="D11" s="1"/>
      <c r="E11" s="31"/>
      <c r="F11" s="1"/>
      <c r="G11" s="31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92" x14ac:dyDescent="0.3">
      <c r="A12" t="s">
        <v>21</v>
      </c>
      <c r="B12" s="1" t="s">
        <v>22</v>
      </c>
      <c r="C12" s="21">
        <v>3</v>
      </c>
      <c r="D12" s="1"/>
      <c r="E12" s="1"/>
      <c r="F12" s="31"/>
      <c r="G12" s="31"/>
      <c r="H12" s="24"/>
      <c r="I12" s="24"/>
      <c r="J12" s="24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92" x14ac:dyDescent="0.3">
      <c r="A13" t="s">
        <v>23</v>
      </c>
      <c r="B13" s="1"/>
      <c r="C13" s="21">
        <v>0</v>
      </c>
      <c r="D13" s="1"/>
      <c r="E13" s="1"/>
      <c r="F13" s="1"/>
      <c r="G13" s="3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92" x14ac:dyDescent="0.3">
      <c r="A14" t="s">
        <v>24</v>
      </c>
      <c r="B14" s="15" t="s">
        <v>25</v>
      </c>
      <c r="C14" s="2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92" x14ac:dyDescent="0.3">
      <c r="A15" t="s">
        <v>26</v>
      </c>
      <c r="B15" s="1" t="s">
        <v>27</v>
      </c>
      <c r="C15" s="21">
        <v>1</v>
      </c>
      <c r="D15" s="1"/>
      <c r="E15" s="1"/>
      <c r="F15" s="1"/>
      <c r="G15" s="1"/>
      <c r="H15" s="31"/>
      <c r="I15" s="31"/>
      <c r="J15" s="31"/>
      <c r="K15" s="25"/>
      <c r="L15" s="1"/>
      <c r="M15" s="1"/>
      <c r="N15" s="1"/>
      <c r="O15" s="1"/>
      <c r="P15" s="1"/>
      <c r="Q15" s="1"/>
      <c r="R15" s="1"/>
      <c r="S15" s="1"/>
      <c r="T15" s="1"/>
    </row>
    <row r="16" spans="1:92" x14ac:dyDescent="0.3">
      <c r="A16" t="s">
        <v>28</v>
      </c>
      <c r="B16" s="1" t="s">
        <v>29</v>
      </c>
      <c r="C16" s="21">
        <v>2</v>
      </c>
      <c r="D16" s="1"/>
      <c r="E16" s="1"/>
      <c r="F16" s="1"/>
      <c r="G16" s="1"/>
      <c r="H16" s="31"/>
      <c r="I16" s="31"/>
      <c r="J16" s="31"/>
      <c r="K16" s="25"/>
      <c r="L16" s="25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t="s">
        <v>30</v>
      </c>
      <c r="B17" s="1" t="s">
        <v>31</v>
      </c>
      <c r="C17" s="21">
        <v>1</v>
      </c>
      <c r="D17" s="1"/>
      <c r="E17" s="1"/>
      <c r="F17" s="1"/>
      <c r="G17" s="1"/>
      <c r="H17" s="1"/>
      <c r="I17" s="31"/>
      <c r="J17" s="31"/>
      <c r="K17" s="31"/>
      <c r="L17" s="31"/>
      <c r="M17" s="26"/>
      <c r="N17" s="1"/>
      <c r="O17" s="1"/>
      <c r="P17" s="1"/>
      <c r="Q17" s="1"/>
      <c r="R17" s="1"/>
      <c r="S17" s="1"/>
      <c r="T17" s="1"/>
    </row>
    <row r="18" spans="1:20" x14ac:dyDescent="0.3">
      <c r="A18" t="s">
        <v>32</v>
      </c>
      <c r="B18" s="1" t="s">
        <v>33</v>
      </c>
      <c r="C18" s="21">
        <v>1</v>
      </c>
      <c r="D18" s="1"/>
      <c r="E18" s="1"/>
      <c r="F18" s="1"/>
      <c r="G18" s="1"/>
      <c r="H18" s="1"/>
      <c r="I18" s="31"/>
      <c r="J18" s="1"/>
      <c r="K18" s="31"/>
      <c r="L18" s="31"/>
      <c r="M18" s="31"/>
      <c r="N18" s="26"/>
      <c r="O18" s="1"/>
      <c r="P18" s="1"/>
      <c r="Q18" s="1"/>
      <c r="R18" s="1"/>
      <c r="S18" s="1"/>
      <c r="T18" s="1"/>
    </row>
    <row r="19" spans="1:20" x14ac:dyDescent="0.3">
      <c r="A19" t="s">
        <v>34</v>
      </c>
      <c r="B19" s="1"/>
      <c r="C19" s="21">
        <v>0</v>
      </c>
      <c r="D19" s="1"/>
      <c r="E19" s="1"/>
      <c r="F19" s="1"/>
      <c r="G19" s="1"/>
      <c r="H19" s="1"/>
      <c r="I19" s="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1:20" x14ac:dyDescent="0.3">
      <c r="A20" t="s">
        <v>35</v>
      </c>
      <c r="B20" s="1"/>
      <c r="C20" s="21">
        <v>0</v>
      </c>
      <c r="D20" s="1"/>
      <c r="E20" s="1"/>
      <c r="F20" s="1"/>
      <c r="G20" s="1"/>
      <c r="H20" s="1"/>
      <c r="I20" s="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spans="1:20" x14ac:dyDescent="0.3">
      <c r="A21" t="s">
        <v>36</v>
      </c>
      <c r="B21" s="1"/>
      <c r="C21" s="21">
        <v>0</v>
      </c>
      <c r="D21" s="1"/>
      <c r="E21" s="1"/>
      <c r="F21" s="1"/>
      <c r="G21" s="1"/>
      <c r="H21" s="1"/>
      <c r="I21" s="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spans="1:20" x14ac:dyDescent="0.3">
      <c r="A22" t="s">
        <v>37</v>
      </c>
      <c r="B22" s="15" t="s">
        <v>38</v>
      </c>
      <c r="C22" s="22"/>
      <c r="D22" s="1"/>
      <c r="E22" s="1"/>
      <c r="F22" s="1"/>
      <c r="G22" s="1"/>
      <c r="H22" s="1"/>
      <c r="I22" s="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spans="1:20" x14ac:dyDescent="0.3">
      <c r="A23" t="s">
        <v>39</v>
      </c>
      <c r="B23" s="1" t="s">
        <v>40</v>
      </c>
      <c r="C23" s="21">
        <v>0</v>
      </c>
      <c r="D23" s="1"/>
      <c r="E23" s="1"/>
      <c r="F23" s="1"/>
      <c r="G23" s="1"/>
      <c r="H23" s="1"/>
      <c r="I23" s="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spans="1:20" x14ac:dyDescent="0.3">
      <c r="A24" t="s">
        <v>41</v>
      </c>
      <c r="B24" s="1" t="s">
        <v>42</v>
      </c>
      <c r="C24" s="21">
        <v>0</v>
      </c>
      <c r="D24" s="1"/>
      <c r="E24" s="1"/>
      <c r="F24" s="1"/>
      <c r="G24" s="1"/>
      <c r="H24" s="1"/>
      <c r="I24" s="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spans="1:20" x14ac:dyDescent="0.3">
      <c r="A25" t="s">
        <v>43</v>
      </c>
      <c r="B25" s="1" t="s">
        <v>44</v>
      </c>
      <c r="C25" s="21">
        <v>0</v>
      </c>
      <c r="D25" s="1"/>
      <c r="E25" s="1"/>
      <c r="F25" s="1"/>
      <c r="G25" s="1"/>
      <c r="H25" s="1"/>
      <c r="I25" s="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 spans="1:20" x14ac:dyDescent="0.3">
      <c r="A26" t="s">
        <v>45</v>
      </c>
      <c r="B26" s="1" t="s">
        <v>46</v>
      </c>
      <c r="C26" s="21">
        <v>0</v>
      </c>
      <c r="D26" s="1"/>
      <c r="E26" s="1"/>
      <c r="F26" s="1"/>
      <c r="G26" s="1"/>
      <c r="H26" s="1"/>
      <c r="I26" s="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20" x14ac:dyDescent="0.3">
      <c r="A27" t="s">
        <v>47</v>
      </c>
      <c r="B27" s="1" t="s">
        <v>48</v>
      </c>
      <c r="C27" s="21">
        <v>0</v>
      </c>
      <c r="D27" s="1"/>
      <c r="E27" s="1"/>
      <c r="F27" s="1"/>
      <c r="G27" s="1"/>
      <c r="H27" s="1"/>
      <c r="I27" s="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20" x14ac:dyDescent="0.3">
      <c r="A28" t="s">
        <v>49</v>
      </c>
      <c r="B28" s="1" t="s">
        <v>50</v>
      </c>
      <c r="C28" s="21">
        <v>0</v>
      </c>
      <c r="D28" s="1"/>
      <c r="E28" s="1"/>
      <c r="F28" s="1"/>
      <c r="G28" s="1"/>
      <c r="H28" s="1"/>
      <c r="I28" s="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 spans="1:20" x14ac:dyDescent="0.3">
      <c r="A29" t="s">
        <v>51</v>
      </c>
      <c r="B29" s="1" t="s">
        <v>52</v>
      </c>
      <c r="C29" s="21">
        <v>0</v>
      </c>
      <c r="D29" s="1"/>
      <c r="E29" s="1"/>
      <c r="F29" s="1"/>
      <c r="G29" s="1"/>
      <c r="H29" s="1"/>
      <c r="I29" s="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spans="1:20" x14ac:dyDescent="0.3">
      <c r="A30" t="s">
        <v>53</v>
      </c>
      <c r="B30" s="1" t="s">
        <v>54</v>
      </c>
      <c r="C30" s="21">
        <v>0</v>
      </c>
      <c r="D30" s="1"/>
      <c r="E30" s="1"/>
      <c r="F30" s="1"/>
      <c r="G30" s="1"/>
      <c r="H30" s="1"/>
      <c r="I30" s="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spans="1:20" x14ac:dyDescent="0.3">
      <c r="A31" t="s">
        <v>55</v>
      </c>
      <c r="B31" s="1" t="s">
        <v>56</v>
      </c>
      <c r="C31" s="21">
        <v>0</v>
      </c>
      <c r="D31" s="1"/>
      <c r="E31" s="1"/>
      <c r="F31" s="1"/>
      <c r="G31" s="1"/>
      <c r="H31" s="1"/>
      <c r="I31" s="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 spans="1:20" x14ac:dyDescent="0.3">
      <c r="A32" s="34" t="s">
        <v>34</v>
      </c>
      <c r="B32" s="32" t="s">
        <v>57</v>
      </c>
      <c r="C32" s="35">
        <v>3</v>
      </c>
      <c r="D32" s="37"/>
      <c r="E32" s="38"/>
      <c r="F32" s="37"/>
    </row>
    <row r="33" spans="1:42" x14ac:dyDescent="0.3">
      <c r="A33" s="34" t="s">
        <v>35</v>
      </c>
      <c r="B33" s="32" t="s">
        <v>58</v>
      </c>
      <c r="C33" s="35">
        <v>2</v>
      </c>
      <c r="G33" s="39"/>
      <c r="H33" s="39"/>
    </row>
    <row r="34" spans="1:42" x14ac:dyDescent="0.3">
      <c r="A34" s="34" t="s">
        <v>36</v>
      </c>
      <c r="B34" s="32" t="s">
        <v>59</v>
      </c>
      <c r="C34" s="35">
        <v>4</v>
      </c>
      <c r="I34" s="40"/>
      <c r="J34" s="40"/>
      <c r="K34" s="40"/>
      <c r="L34" s="40"/>
    </row>
    <row r="35" spans="1:42" x14ac:dyDescent="0.3">
      <c r="A35" s="34" t="s">
        <v>60</v>
      </c>
      <c r="B35" s="32" t="s">
        <v>61</v>
      </c>
      <c r="C35" s="35">
        <v>3</v>
      </c>
      <c r="M35" s="41"/>
      <c r="N35" s="41"/>
      <c r="O35" s="41"/>
    </row>
    <row r="36" spans="1:42" x14ac:dyDescent="0.3">
      <c r="A36" s="34" t="s">
        <v>62</v>
      </c>
      <c r="B36" s="32" t="s">
        <v>63</v>
      </c>
      <c r="C36" s="35">
        <v>4</v>
      </c>
      <c r="P36" s="42"/>
      <c r="Q36" s="43"/>
      <c r="R36" s="44"/>
      <c r="S36" s="36"/>
    </row>
    <row r="37" spans="1:42" x14ac:dyDescent="0.3">
      <c r="A37" s="34" t="s">
        <v>37</v>
      </c>
      <c r="B37" s="32" t="s">
        <v>64</v>
      </c>
      <c r="C37" s="35"/>
    </row>
    <row r="38" spans="1:42" x14ac:dyDescent="0.3">
      <c r="A38" s="34" t="s">
        <v>39</v>
      </c>
      <c r="B38" s="32" t="s">
        <v>65</v>
      </c>
      <c r="C38" s="35">
        <v>2</v>
      </c>
      <c r="T38" s="36"/>
      <c r="U38" s="36"/>
    </row>
    <row r="39" spans="1:42" x14ac:dyDescent="0.3">
      <c r="A39" s="34" t="s">
        <v>41</v>
      </c>
      <c r="B39" s="32" t="s">
        <v>66</v>
      </c>
      <c r="C39" s="35">
        <v>2</v>
      </c>
      <c r="V39" s="36"/>
      <c r="W39" s="36"/>
    </row>
    <row r="40" spans="1:42" x14ac:dyDescent="0.3">
      <c r="A40" s="34" t="s">
        <v>43</v>
      </c>
      <c r="B40" s="32" t="s">
        <v>67</v>
      </c>
      <c r="C40" s="35">
        <v>3</v>
      </c>
      <c r="X40" s="36"/>
      <c r="Y40" s="36"/>
      <c r="Z40" s="36"/>
    </row>
    <row r="41" spans="1:42" x14ac:dyDescent="0.3">
      <c r="A41" s="34" t="s">
        <v>45</v>
      </c>
      <c r="B41" s="32" t="s">
        <v>68</v>
      </c>
      <c r="C41" s="35">
        <v>2</v>
      </c>
      <c r="AA41" s="36"/>
      <c r="AB41" s="36"/>
    </row>
    <row r="42" spans="1:42" x14ac:dyDescent="0.3">
      <c r="A42" s="34" t="s">
        <v>47</v>
      </c>
      <c r="B42" s="32" t="s">
        <v>69</v>
      </c>
      <c r="C42" s="35">
        <v>3</v>
      </c>
      <c r="AC42" s="36"/>
      <c r="AD42" s="36"/>
      <c r="AE42" s="36"/>
    </row>
    <row r="43" spans="1:42" x14ac:dyDescent="0.3">
      <c r="B43" t="s">
        <v>70</v>
      </c>
      <c r="C43">
        <v>2</v>
      </c>
      <c r="AF43" s="56"/>
      <c r="AG43" s="56"/>
    </row>
    <row r="44" spans="1:42" x14ac:dyDescent="0.3">
      <c r="B44" t="s">
        <v>71</v>
      </c>
      <c r="C44">
        <v>1</v>
      </c>
      <c r="AH44" s="57"/>
    </row>
    <row r="45" spans="1:42" x14ac:dyDescent="0.3">
      <c r="B45" t="s">
        <v>72</v>
      </c>
      <c r="C45">
        <v>2</v>
      </c>
      <c r="AI45" s="58"/>
      <c r="AJ45" s="58"/>
    </row>
    <row r="46" spans="1:42" x14ac:dyDescent="0.3">
      <c r="B46" t="s">
        <v>73</v>
      </c>
      <c r="C46">
        <v>2</v>
      </c>
      <c r="AK46" s="45"/>
      <c r="AL46" s="45"/>
    </row>
    <row r="47" spans="1:42" x14ac:dyDescent="0.3">
      <c r="B47" t="s">
        <v>74</v>
      </c>
      <c r="C47">
        <v>2</v>
      </c>
      <c r="AM47" s="59"/>
      <c r="AN47" s="59"/>
    </row>
    <row r="48" spans="1:42" x14ac:dyDescent="0.3">
      <c r="B48" t="s">
        <v>75</v>
      </c>
      <c r="C48">
        <v>2</v>
      </c>
      <c r="AO48" s="60"/>
      <c r="AP48" s="60"/>
    </row>
    <row r="49" spans="2:46" x14ac:dyDescent="0.3">
      <c r="B49" t="s">
        <v>76</v>
      </c>
      <c r="C49">
        <v>4</v>
      </c>
      <c r="AQ49" s="60"/>
      <c r="AR49" s="60"/>
      <c r="AS49" s="60"/>
      <c r="AT49" s="60"/>
    </row>
  </sheetData>
  <mergeCells count="2">
    <mergeCell ref="A1:T1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showRowColHeaders="0" topLeftCell="B31" zoomScale="91" zoomScaleNormal="91" workbookViewId="0">
      <selection activeCell="C36" sqref="C3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EDT</vt:lpstr>
      <vt:lpstr>Calculo de costo </vt:lpstr>
      <vt:lpstr>Carta gantt </vt:lpstr>
      <vt:lpstr>Formato EDT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JORGE ZARATE CHACON</cp:lastModifiedBy>
  <dcterms:created xsi:type="dcterms:W3CDTF">2018-01-25T19:02:19Z</dcterms:created>
  <dcterms:modified xsi:type="dcterms:W3CDTF">2026-06-23T17:58:15Z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2024-08-22T14:19:05Z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4ad31b23-38de-4933-90c6-ec1d18d1ac6d</vt:lpwstr>
  </property>
  <property fmtid="{D5CDD505-2E9C-101B-9397-08002B2CF9AE}" pid="8" name="MSIP_Label_455b24b8-e69b-4583-bfd0-d64b5cee0119_ContentBits">
    <vt:lpwstr>0</vt:lpwstr>
  </property>
</Properties>
</file>